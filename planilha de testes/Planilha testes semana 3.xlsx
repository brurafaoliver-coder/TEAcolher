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oniz\Downloads\"/>
    </mc:Choice>
  </mc:AlternateContent>
  <xr:revisionPtr revIDLastSave="0" documentId="13_ncr:1_{419D10E2-C77C-4514-92CF-E8101FE22FD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Matriz de Testes" sheetId="1" r:id="rId1"/>
    <sheet name="Resumo" sheetId="2" r:id="rId2"/>
    <sheet name="Metas de Desempenh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2" l="1"/>
  <c r="D25" i="2" s="1"/>
  <c r="B25" i="2"/>
  <c r="C21" i="2"/>
  <c r="D21" i="2" s="1"/>
  <c r="B21" i="2"/>
  <c r="C20" i="2"/>
  <c r="D20" i="2" s="1"/>
  <c r="B20" i="2"/>
  <c r="C19" i="2"/>
  <c r="D19" i="2" s="1"/>
  <c r="B19" i="2"/>
  <c r="C15" i="2"/>
  <c r="B15" i="2"/>
  <c r="C14" i="2"/>
  <c r="B14" i="2"/>
  <c r="C13" i="2"/>
  <c r="D13" i="2" s="1"/>
  <c r="B13" i="2"/>
  <c r="C9" i="2"/>
  <c r="B9" i="2"/>
  <c r="C8" i="2"/>
  <c r="B8" i="2"/>
  <c r="C7" i="2"/>
  <c r="D7" i="2" s="1"/>
  <c r="B7" i="2"/>
  <c r="C6" i="2"/>
  <c r="D6" i="2" s="1"/>
  <c r="B6" i="2"/>
  <c r="D15" i="2" l="1"/>
  <c r="D8" i="2"/>
  <c r="D14" i="2"/>
  <c r="D9" i="2"/>
</calcChain>
</file>

<file path=xl/sharedStrings.xml><?xml version="1.0" encoding="utf-8"?>
<sst xmlns="http://schemas.openxmlformats.org/spreadsheetml/2006/main" count="386" uniqueCount="49">
  <si>
    <t>Cantinho da Calma em AR — Matriz de Testes da Etiqueta</t>
  </si>
  <si>
    <t>Semana 3 (29/09 a 05/10) — Seção 9 do documento principal: luz, distância e ângulo</t>
  </si>
  <si>
    <t>Data</t>
  </si>
  <si>
    <t>Testador</t>
  </si>
  <si>
    <t>Condição de Luz</t>
  </si>
  <si>
    <t>Distância (m)</t>
  </si>
  <si>
    <t>Ângulo</t>
  </si>
  <si>
    <t>Status Obtido</t>
  </si>
  <si>
    <t>Motivo (StatusInfo)</t>
  </si>
  <si>
    <t>Tamanho Detectado (cm)</t>
  </si>
  <si>
    <t>FPS</t>
  </si>
  <si>
    <t>Reconheceu?</t>
  </si>
  <si>
    <t>Observações</t>
  </si>
  <si>
    <t>Pedro</t>
  </si>
  <si>
    <t>Clara</t>
  </si>
  <si>
    <t>Frontal (0°)</t>
  </si>
  <si>
    <t>TRACKED</t>
  </si>
  <si>
    <t>NORMAL</t>
  </si>
  <si>
    <t>10.0 x 10.0</t>
  </si>
  <si>
    <t>Sim</t>
  </si>
  <si>
    <t>Reconheceu assim que a etiqueta entrou no quadro</t>
  </si>
  <si>
    <t>Lateral (~30°)</t>
  </si>
  <si>
    <t>Lateral (~45°)</t>
  </si>
  <si>
    <t>Média</t>
  </si>
  <si>
    <t>Escura</t>
  </si>
  <si>
    <t>Colorida</t>
  </si>
  <si>
    <t>Resumo — Taxa de Reconhecimento por Condição</t>
  </si>
  <si>
    <t>Atualiza sozinho conforme a aba 'Matriz de Testes' for preenchida</t>
  </si>
  <si>
    <t>Por condição de luz</t>
  </si>
  <si>
    <t>Condição</t>
  </si>
  <si>
    <t>Testes registrados</t>
  </si>
  <si>
    <t>Reconheceu (Sim)</t>
  </si>
  <si>
    <t>% de sucesso</t>
  </si>
  <si>
    <t>Por distância</t>
  </si>
  <si>
    <t>Por ângulo</t>
  </si>
  <si>
    <t>Total geral</t>
  </si>
  <si>
    <t>Metas de Desempenho (Seção 6 do documento principal)</t>
  </si>
  <si>
    <t>Preencher na Semana 4, com base nos testes já registrados</t>
  </si>
  <si>
    <t>Métrica</t>
  </si>
  <si>
    <t>Meta (da Seção 6)</t>
  </si>
  <si>
    <t>Resultado medido</t>
  </si>
  <si>
    <t>Atingiu a meta?</t>
  </si>
  <si>
    <t>Taxa de reconhecimento (luz normal)</t>
  </si>
  <si>
    <t>Taxa de reconhecimento (luz fraca)</t>
  </si>
  <si>
    <t>Distância máxima de reconhecimento</t>
  </si>
  <si>
    <t>Tempo até primeiro reconhecimento</t>
  </si>
  <si>
    <t>FPS médio em uso</t>
  </si>
  <si>
    <t>Preencha 'Meta' copiando da Seção 6 do documento principal (não incluída aqui). 'Resultado medido' vem da aba Resumo ou de medição direta no app.</t>
  </si>
  <si>
    <t>29~30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</si>
</sst>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theme="6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4" borderId="0" xfId="0" applyFont="1" applyFill="1" applyBorder="1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85" zoomScaleNormal="85" workbookViewId="0">
      <pane ySplit="4" topLeftCell="A5" activePane="bottomLeft" state="frozen"/>
      <selection pane="bottomLeft" activeCell="C15" sqref="C15"/>
    </sheetView>
  </sheetViews>
  <sheetFormatPr defaultColWidth="8.7109375" defaultRowHeight="15" x14ac:dyDescent="0.25"/>
  <cols>
    <col min="1" max="2" width="12" customWidth="1"/>
    <col min="3" max="3" width="14" customWidth="1"/>
    <col min="4" max="4" width="13" customWidth="1"/>
    <col min="5" max="5" width="16" customWidth="1"/>
    <col min="6" max="6" width="14" customWidth="1"/>
    <col min="7" max="7" width="16" customWidth="1"/>
    <col min="8" max="8" width="20" customWidth="1"/>
    <col min="9" max="9" width="8" customWidth="1"/>
    <col min="10" max="10" width="12" customWidth="1"/>
    <col min="11" max="11" width="32" customWidth="1"/>
  </cols>
  <sheetData>
    <row r="1" spans="1:12" ht="20.25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0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2" ht="25.5" x14ac:dyDescent="0.25">
      <c r="A5" s="13">
        <v>46297</v>
      </c>
      <c r="B5" s="5" t="s">
        <v>13</v>
      </c>
      <c r="C5" s="6" t="s">
        <v>14</v>
      </c>
      <c r="D5" s="5">
        <v>1</v>
      </c>
      <c r="E5" s="6" t="s">
        <v>15</v>
      </c>
      <c r="F5" s="6" t="s">
        <v>16</v>
      </c>
      <c r="G5" s="6" t="s">
        <v>17</v>
      </c>
      <c r="H5" s="5" t="s">
        <v>18</v>
      </c>
      <c r="I5" s="5" t="s">
        <v>48</v>
      </c>
      <c r="J5" s="12" t="s">
        <v>19</v>
      </c>
      <c r="K5" s="6" t="s">
        <v>20</v>
      </c>
    </row>
    <row r="6" spans="1:12" ht="25.5" x14ac:dyDescent="0.25">
      <c r="A6" s="13">
        <v>46297</v>
      </c>
      <c r="B6" s="5" t="s">
        <v>13</v>
      </c>
      <c r="C6" s="8" t="s">
        <v>14</v>
      </c>
      <c r="D6" s="7">
        <v>1</v>
      </c>
      <c r="E6" s="8" t="s">
        <v>15</v>
      </c>
      <c r="F6" s="6" t="s">
        <v>16</v>
      </c>
      <c r="G6" s="6" t="s">
        <v>17</v>
      </c>
      <c r="H6" s="5" t="s">
        <v>18</v>
      </c>
      <c r="I6" s="5" t="s">
        <v>48</v>
      </c>
      <c r="J6" s="12" t="s">
        <v>19</v>
      </c>
      <c r="K6" s="6" t="s">
        <v>20</v>
      </c>
    </row>
    <row r="7" spans="1:12" ht="25.5" x14ac:dyDescent="0.25">
      <c r="A7" s="13">
        <v>46297</v>
      </c>
      <c r="B7" s="5" t="s">
        <v>13</v>
      </c>
      <c r="C7" s="8" t="s">
        <v>14</v>
      </c>
      <c r="D7" s="7">
        <v>1</v>
      </c>
      <c r="E7" s="8" t="s">
        <v>21</v>
      </c>
      <c r="F7" s="6" t="s">
        <v>16</v>
      </c>
      <c r="G7" s="6" t="s">
        <v>17</v>
      </c>
      <c r="H7" s="5" t="s">
        <v>18</v>
      </c>
      <c r="I7" s="5" t="s">
        <v>48</v>
      </c>
      <c r="J7" s="12" t="s">
        <v>19</v>
      </c>
      <c r="K7" s="6" t="s">
        <v>20</v>
      </c>
    </row>
    <row r="8" spans="1:12" ht="25.5" x14ac:dyDescent="0.25">
      <c r="A8" s="13">
        <v>46297</v>
      </c>
      <c r="B8" s="5" t="s">
        <v>13</v>
      </c>
      <c r="C8" s="8" t="s">
        <v>14</v>
      </c>
      <c r="D8" s="7">
        <v>1</v>
      </c>
      <c r="E8" s="8" t="s">
        <v>22</v>
      </c>
      <c r="F8" s="6" t="s">
        <v>16</v>
      </c>
      <c r="G8" s="6" t="s">
        <v>17</v>
      </c>
      <c r="H8" s="5" t="s">
        <v>18</v>
      </c>
      <c r="I8" s="5" t="s">
        <v>48</v>
      </c>
      <c r="J8" s="12" t="s">
        <v>19</v>
      </c>
      <c r="K8" s="6" t="s">
        <v>20</v>
      </c>
    </row>
    <row r="9" spans="1:12" ht="25.5" x14ac:dyDescent="0.25">
      <c r="A9" s="13">
        <v>46297</v>
      </c>
      <c r="B9" s="5" t="s">
        <v>13</v>
      </c>
      <c r="C9" s="8" t="s">
        <v>14</v>
      </c>
      <c r="D9" s="7">
        <v>2</v>
      </c>
      <c r="E9" s="8" t="s">
        <v>15</v>
      </c>
      <c r="F9" s="6" t="s">
        <v>16</v>
      </c>
      <c r="G9" s="6" t="s">
        <v>17</v>
      </c>
      <c r="H9" s="5" t="s">
        <v>18</v>
      </c>
      <c r="I9" s="5" t="s">
        <v>48</v>
      </c>
      <c r="J9" s="12" t="s">
        <v>19</v>
      </c>
      <c r="K9" s="6" t="s">
        <v>20</v>
      </c>
    </row>
    <row r="10" spans="1:12" ht="25.5" x14ac:dyDescent="0.25">
      <c r="A10" s="13">
        <v>46297</v>
      </c>
      <c r="B10" s="5" t="s">
        <v>13</v>
      </c>
      <c r="C10" s="8" t="s">
        <v>14</v>
      </c>
      <c r="D10" s="7">
        <v>2</v>
      </c>
      <c r="E10" s="8" t="s">
        <v>21</v>
      </c>
      <c r="F10" s="6" t="s">
        <v>16</v>
      </c>
      <c r="G10" s="6" t="s">
        <v>17</v>
      </c>
      <c r="H10" s="5" t="s">
        <v>18</v>
      </c>
      <c r="I10" s="5" t="s">
        <v>48</v>
      </c>
      <c r="J10" s="12" t="s">
        <v>19</v>
      </c>
      <c r="K10" s="6" t="s">
        <v>20</v>
      </c>
    </row>
    <row r="11" spans="1:12" ht="25.5" x14ac:dyDescent="0.25">
      <c r="A11" s="13">
        <v>46297</v>
      </c>
      <c r="B11" s="5" t="s">
        <v>13</v>
      </c>
      <c r="C11" s="8" t="s">
        <v>14</v>
      </c>
      <c r="D11" s="7">
        <v>2</v>
      </c>
      <c r="E11" s="8" t="s">
        <v>22</v>
      </c>
      <c r="F11" s="6" t="s">
        <v>16</v>
      </c>
      <c r="G11" s="6" t="s">
        <v>17</v>
      </c>
      <c r="H11" s="5" t="s">
        <v>18</v>
      </c>
      <c r="I11" s="5" t="s">
        <v>48</v>
      </c>
      <c r="J11" s="12" t="s">
        <v>19</v>
      </c>
      <c r="K11" s="6" t="s">
        <v>20</v>
      </c>
    </row>
    <row r="12" spans="1:12" ht="25.5" x14ac:dyDescent="0.25">
      <c r="A12" s="13">
        <v>46297</v>
      </c>
      <c r="B12" s="5" t="s">
        <v>13</v>
      </c>
      <c r="C12" s="8" t="s">
        <v>14</v>
      </c>
      <c r="D12" s="7">
        <v>3</v>
      </c>
      <c r="E12" s="8" t="s">
        <v>15</v>
      </c>
      <c r="F12" s="6" t="s">
        <v>16</v>
      </c>
      <c r="G12" s="6" t="s">
        <v>17</v>
      </c>
      <c r="H12" s="5" t="s">
        <v>18</v>
      </c>
      <c r="I12" s="5" t="s">
        <v>48</v>
      </c>
      <c r="J12" s="12" t="s">
        <v>19</v>
      </c>
      <c r="K12" s="6" t="s">
        <v>20</v>
      </c>
    </row>
    <row r="13" spans="1:12" ht="25.5" x14ac:dyDescent="0.25">
      <c r="A13" s="13">
        <v>46297</v>
      </c>
      <c r="B13" s="5" t="s">
        <v>13</v>
      </c>
      <c r="C13" s="8" t="s">
        <v>14</v>
      </c>
      <c r="D13" s="7">
        <v>3</v>
      </c>
      <c r="E13" s="8" t="s">
        <v>21</v>
      </c>
      <c r="F13" s="6" t="s">
        <v>16</v>
      </c>
      <c r="G13" s="6" t="s">
        <v>17</v>
      </c>
      <c r="H13" s="5" t="s">
        <v>18</v>
      </c>
      <c r="I13" s="5" t="s">
        <v>48</v>
      </c>
      <c r="J13" s="12" t="s">
        <v>19</v>
      </c>
      <c r="K13" s="6" t="s">
        <v>20</v>
      </c>
    </row>
    <row r="14" spans="1:12" ht="25.5" x14ac:dyDescent="0.25">
      <c r="A14" s="13">
        <v>46297</v>
      </c>
      <c r="B14" s="5" t="s">
        <v>13</v>
      </c>
      <c r="C14" s="8" t="s">
        <v>14</v>
      </c>
      <c r="D14" s="7">
        <v>3</v>
      </c>
      <c r="E14" s="8" t="s">
        <v>22</v>
      </c>
      <c r="F14" s="6" t="s">
        <v>16</v>
      </c>
      <c r="G14" s="6" t="s">
        <v>17</v>
      </c>
      <c r="H14" s="5" t="s">
        <v>18</v>
      </c>
      <c r="I14" s="5" t="s">
        <v>48</v>
      </c>
      <c r="J14" s="12" t="s">
        <v>19</v>
      </c>
      <c r="K14" s="6" t="s">
        <v>20</v>
      </c>
    </row>
    <row r="15" spans="1:12" ht="25.5" x14ac:dyDescent="0.25">
      <c r="A15" s="13">
        <v>46297</v>
      </c>
      <c r="B15" s="5" t="s">
        <v>13</v>
      </c>
      <c r="C15" s="8" t="s">
        <v>23</v>
      </c>
      <c r="D15" s="7">
        <v>1</v>
      </c>
      <c r="E15" s="8" t="s">
        <v>15</v>
      </c>
      <c r="F15" s="6" t="s">
        <v>16</v>
      </c>
      <c r="G15" s="6" t="s">
        <v>17</v>
      </c>
      <c r="H15" s="5" t="s">
        <v>18</v>
      </c>
      <c r="I15" s="5" t="s">
        <v>48</v>
      </c>
      <c r="J15" s="12" t="s">
        <v>19</v>
      </c>
      <c r="K15" s="6" t="s">
        <v>20</v>
      </c>
    </row>
    <row r="16" spans="1:12" ht="25.5" x14ac:dyDescent="0.25">
      <c r="A16" s="13">
        <v>46297</v>
      </c>
      <c r="B16" s="5" t="s">
        <v>13</v>
      </c>
      <c r="C16" s="8" t="s">
        <v>23</v>
      </c>
      <c r="D16" s="7">
        <v>1</v>
      </c>
      <c r="E16" s="8" t="s">
        <v>21</v>
      </c>
      <c r="F16" s="6" t="s">
        <v>16</v>
      </c>
      <c r="G16" s="6" t="s">
        <v>17</v>
      </c>
      <c r="H16" s="5" t="s">
        <v>18</v>
      </c>
      <c r="I16" s="5" t="s">
        <v>48</v>
      </c>
      <c r="J16" s="12" t="s">
        <v>19</v>
      </c>
      <c r="K16" s="6" t="s">
        <v>20</v>
      </c>
    </row>
    <row r="17" spans="1:11" ht="25.5" x14ac:dyDescent="0.25">
      <c r="A17" s="13">
        <v>46297</v>
      </c>
      <c r="B17" s="5" t="s">
        <v>13</v>
      </c>
      <c r="C17" s="8" t="s">
        <v>23</v>
      </c>
      <c r="D17" s="7">
        <v>1</v>
      </c>
      <c r="E17" s="8" t="s">
        <v>22</v>
      </c>
      <c r="F17" s="6" t="s">
        <v>16</v>
      </c>
      <c r="G17" s="6" t="s">
        <v>17</v>
      </c>
      <c r="H17" s="5" t="s">
        <v>18</v>
      </c>
      <c r="I17" s="5" t="s">
        <v>48</v>
      </c>
      <c r="J17" s="12" t="s">
        <v>19</v>
      </c>
      <c r="K17" s="6" t="s">
        <v>20</v>
      </c>
    </row>
    <row r="18" spans="1:11" ht="25.5" x14ac:dyDescent="0.25">
      <c r="A18" s="13">
        <v>46297</v>
      </c>
      <c r="B18" s="5" t="s">
        <v>13</v>
      </c>
      <c r="C18" s="8" t="s">
        <v>23</v>
      </c>
      <c r="D18" s="7">
        <v>2</v>
      </c>
      <c r="E18" s="8" t="s">
        <v>15</v>
      </c>
      <c r="F18" s="6" t="s">
        <v>16</v>
      </c>
      <c r="G18" s="6" t="s">
        <v>17</v>
      </c>
      <c r="H18" s="5" t="s">
        <v>18</v>
      </c>
      <c r="I18" s="5" t="s">
        <v>48</v>
      </c>
      <c r="J18" s="12" t="s">
        <v>19</v>
      </c>
      <c r="K18" s="6" t="s">
        <v>20</v>
      </c>
    </row>
    <row r="19" spans="1:11" ht="25.5" x14ac:dyDescent="0.25">
      <c r="A19" s="13">
        <v>46297</v>
      </c>
      <c r="B19" s="5" t="s">
        <v>13</v>
      </c>
      <c r="C19" s="8" t="s">
        <v>23</v>
      </c>
      <c r="D19" s="7">
        <v>2</v>
      </c>
      <c r="E19" s="8" t="s">
        <v>21</v>
      </c>
      <c r="F19" s="6" t="s">
        <v>16</v>
      </c>
      <c r="G19" s="6" t="s">
        <v>17</v>
      </c>
      <c r="H19" s="5" t="s">
        <v>18</v>
      </c>
      <c r="I19" s="5" t="s">
        <v>48</v>
      </c>
      <c r="J19" s="12" t="s">
        <v>19</v>
      </c>
      <c r="K19" s="6" t="s">
        <v>20</v>
      </c>
    </row>
    <row r="20" spans="1:11" ht="25.5" x14ac:dyDescent="0.25">
      <c r="A20" s="13">
        <v>46297</v>
      </c>
      <c r="B20" s="5" t="s">
        <v>13</v>
      </c>
      <c r="C20" s="8" t="s">
        <v>23</v>
      </c>
      <c r="D20" s="7">
        <v>2</v>
      </c>
      <c r="E20" s="8" t="s">
        <v>22</v>
      </c>
      <c r="F20" s="6" t="s">
        <v>16</v>
      </c>
      <c r="G20" s="6" t="s">
        <v>17</v>
      </c>
      <c r="H20" s="5" t="s">
        <v>18</v>
      </c>
      <c r="I20" s="5" t="s">
        <v>48</v>
      </c>
      <c r="J20" s="12" t="s">
        <v>19</v>
      </c>
      <c r="K20" s="6" t="s">
        <v>20</v>
      </c>
    </row>
    <row r="21" spans="1:11" ht="25.5" x14ac:dyDescent="0.25">
      <c r="A21" s="13">
        <v>46297</v>
      </c>
      <c r="B21" s="5" t="s">
        <v>13</v>
      </c>
      <c r="C21" s="8" t="s">
        <v>23</v>
      </c>
      <c r="D21" s="7">
        <v>3</v>
      </c>
      <c r="E21" s="8" t="s">
        <v>15</v>
      </c>
      <c r="F21" s="6" t="s">
        <v>16</v>
      </c>
      <c r="G21" s="6" t="s">
        <v>17</v>
      </c>
      <c r="H21" s="5" t="s">
        <v>18</v>
      </c>
      <c r="I21" s="5" t="s">
        <v>48</v>
      </c>
      <c r="J21" s="12" t="s">
        <v>19</v>
      </c>
      <c r="K21" s="6" t="s">
        <v>20</v>
      </c>
    </row>
    <row r="22" spans="1:11" ht="25.5" x14ac:dyDescent="0.25">
      <c r="A22" s="13">
        <v>46297</v>
      </c>
      <c r="B22" s="5" t="s">
        <v>13</v>
      </c>
      <c r="C22" s="8" t="s">
        <v>23</v>
      </c>
      <c r="D22" s="7">
        <v>3</v>
      </c>
      <c r="E22" s="8" t="s">
        <v>21</v>
      </c>
      <c r="F22" s="6" t="s">
        <v>16</v>
      </c>
      <c r="G22" s="6" t="s">
        <v>17</v>
      </c>
      <c r="H22" s="5" t="s">
        <v>18</v>
      </c>
      <c r="I22" s="5" t="s">
        <v>48</v>
      </c>
      <c r="J22" s="12" t="s">
        <v>19</v>
      </c>
      <c r="K22" s="6" t="s">
        <v>20</v>
      </c>
    </row>
    <row r="23" spans="1:11" ht="25.5" x14ac:dyDescent="0.25">
      <c r="A23" s="13">
        <v>46297</v>
      </c>
      <c r="B23" s="5" t="s">
        <v>13</v>
      </c>
      <c r="C23" s="8" t="s">
        <v>23</v>
      </c>
      <c r="D23" s="7">
        <v>3</v>
      </c>
      <c r="E23" s="8" t="s">
        <v>22</v>
      </c>
      <c r="F23" s="6" t="s">
        <v>16</v>
      </c>
      <c r="G23" s="6" t="s">
        <v>17</v>
      </c>
      <c r="H23" s="5" t="s">
        <v>18</v>
      </c>
      <c r="I23" s="5" t="s">
        <v>48</v>
      </c>
      <c r="J23" s="12" t="s">
        <v>19</v>
      </c>
      <c r="K23" s="6" t="s">
        <v>20</v>
      </c>
    </row>
    <row r="24" spans="1:11" ht="25.5" x14ac:dyDescent="0.25">
      <c r="A24" s="13">
        <v>46297</v>
      </c>
      <c r="B24" s="5" t="s">
        <v>13</v>
      </c>
      <c r="C24" s="8" t="s">
        <v>24</v>
      </c>
      <c r="D24" s="7">
        <v>1</v>
      </c>
      <c r="E24" s="8" t="s">
        <v>15</v>
      </c>
      <c r="F24" s="6" t="s">
        <v>16</v>
      </c>
      <c r="G24" s="6" t="s">
        <v>17</v>
      </c>
      <c r="H24" s="5" t="s">
        <v>18</v>
      </c>
      <c r="I24" s="5" t="s">
        <v>48</v>
      </c>
      <c r="J24" s="12" t="s">
        <v>19</v>
      </c>
      <c r="K24" s="6" t="s">
        <v>20</v>
      </c>
    </row>
    <row r="25" spans="1:11" ht="25.5" x14ac:dyDescent="0.25">
      <c r="A25" s="13">
        <v>46298</v>
      </c>
      <c r="B25" s="5" t="s">
        <v>13</v>
      </c>
      <c r="C25" s="8" t="s">
        <v>24</v>
      </c>
      <c r="D25" s="7">
        <v>1</v>
      </c>
      <c r="E25" s="8" t="s">
        <v>21</v>
      </c>
      <c r="F25" s="6" t="s">
        <v>16</v>
      </c>
      <c r="G25" s="6" t="s">
        <v>17</v>
      </c>
      <c r="H25" s="5" t="s">
        <v>18</v>
      </c>
      <c r="I25" s="5" t="s">
        <v>48</v>
      </c>
      <c r="J25" s="12" t="s">
        <v>19</v>
      </c>
      <c r="K25" s="6" t="s">
        <v>20</v>
      </c>
    </row>
    <row r="26" spans="1:11" ht="25.5" x14ac:dyDescent="0.25">
      <c r="A26" s="13">
        <v>46298</v>
      </c>
      <c r="B26" s="5" t="s">
        <v>13</v>
      </c>
      <c r="C26" s="8" t="s">
        <v>24</v>
      </c>
      <c r="D26" s="7">
        <v>1</v>
      </c>
      <c r="E26" s="8" t="s">
        <v>22</v>
      </c>
      <c r="F26" s="6" t="s">
        <v>16</v>
      </c>
      <c r="G26" s="6" t="s">
        <v>17</v>
      </c>
      <c r="H26" s="5" t="s">
        <v>18</v>
      </c>
      <c r="I26" s="5" t="s">
        <v>48</v>
      </c>
      <c r="J26" s="12" t="s">
        <v>19</v>
      </c>
      <c r="K26" s="6" t="s">
        <v>20</v>
      </c>
    </row>
    <row r="27" spans="1:11" ht="25.5" x14ac:dyDescent="0.25">
      <c r="A27" s="13">
        <v>46298</v>
      </c>
      <c r="B27" s="5" t="s">
        <v>13</v>
      </c>
      <c r="C27" s="8" t="s">
        <v>24</v>
      </c>
      <c r="D27" s="7">
        <v>2</v>
      </c>
      <c r="E27" s="8" t="s">
        <v>15</v>
      </c>
      <c r="F27" s="6" t="s">
        <v>16</v>
      </c>
      <c r="G27" s="6" t="s">
        <v>17</v>
      </c>
      <c r="H27" s="5" t="s">
        <v>18</v>
      </c>
      <c r="I27" s="5" t="s">
        <v>48</v>
      </c>
      <c r="J27" s="12" t="s">
        <v>19</v>
      </c>
      <c r="K27" s="6" t="s">
        <v>20</v>
      </c>
    </row>
    <row r="28" spans="1:11" ht="25.5" x14ac:dyDescent="0.25">
      <c r="A28" s="13">
        <v>46298</v>
      </c>
      <c r="B28" s="5" t="s">
        <v>13</v>
      </c>
      <c r="C28" s="8" t="s">
        <v>24</v>
      </c>
      <c r="D28" s="7">
        <v>2</v>
      </c>
      <c r="E28" s="8" t="s">
        <v>21</v>
      </c>
      <c r="F28" s="6" t="s">
        <v>16</v>
      </c>
      <c r="G28" s="6" t="s">
        <v>17</v>
      </c>
      <c r="H28" s="5" t="s">
        <v>18</v>
      </c>
      <c r="I28" s="5" t="s">
        <v>48</v>
      </c>
      <c r="J28" s="12" t="s">
        <v>19</v>
      </c>
      <c r="K28" s="6" t="s">
        <v>20</v>
      </c>
    </row>
    <row r="29" spans="1:11" ht="25.5" x14ac:dyDescent="0.25">
      <c r="A29" s="13">
        <v>46298</v>
      </c>
      <c r="B29" s="5" t="s">
        <v>13</v>
      </c>
      <c r="C29" s="8" t="s">
        <v>24</v>
      </c>
      <c r="D29" s="7">
        <v>2</v>
      </c>
      <c r="E29" s="8" t="s">
        <v>22</v>
      </c>
      <c r="F29" s="6" t="s">
        <v>16</v>
      </c>
      <c r="G29" s="6" t="s">
        <v>17</v>
      </c>
      <c r="H29" s="5" t="s">
        <v>18</v>
      </c>
      <c r="I29" s="5" t="s">
        <v>48</v>
      </c>
      <c r="J29" s="12" t="s">
        <v>19</v>
      </c>
      <c r="K29" s="6" t="s">
        <v>20</v>
      </c>
    </row>
    <row r="30" spans="1:11" ht="25.5" x14ac:dyDescent="0.25">
      <c r="A30" s="13">
        <v>46298</v>
      </c>
      <c r="B30" s="5" t="s">
        <v>13</v>
      </c>
      <c r="C30" s="8" t="s">
        <v>24</v>
      </c>
      <c r="D30" s="7">
        <v>3</v>
      </c>
      <c r="E30" s="8" t="s">
        <v>15</v>
      </c>
      <c r="F30" s="6" t="s">
        <v>16</v>
      </c>
      <c r="G30" s="6" t="s">
        <v>17</v>
      </c>
      <c r="H30" s="5" t="s">
        <v>18</v>
      </c>
      <c r="I30" s="5" t="s">
        <v>48</v>
      </c>
      <c r="J30" s="12" t="s">
        <v>19</v>
      </c>
      <c r="K30" s="6" t="s">
        <v>20</v>
      </c>
    </row>
    <row r="31" spans="1:11" ht="25.5" x14ac:dyDescent="0.25">
      <c r="A31" s="13">
        <v>46298</v>
      </c>
      <c r="B31" s="5" t="s">
        <v>13</v>
      </c>
      <c r="C31" s="8" t="s">
        <v>24</v>
      </c>
      <c r="D31" s="7">
        <v>3</v>
      </c>
      <c r="E31" s="8" t="s">
        <v>21</v>
      </c>
      <c r="F31" s="6" t="s">
        <v>16</v>
      </c>
      <c r="G31" s="6" t="s">
        <v>17</v>
      </c>
      <c r="H31" s="5" t="s">
        <v>18</v>
      </c>
      <c r="I31" s="5" t="s">
        <v>48</v>
      </c>
      <c r="J31" s="12" t="s">
        <v>19</v>
      </c>
      <c r="K31" s="6" t="s">
        <v>20</v>
      </c>
    </row>
    <row r="32" spans="1:11" ht="25.5" x14ac:dyDescent="0.25">
      <c r="A32" s="13">
        <v>46298</v>
      </c>
      <c r="B32" s="5" t="s">
        <v>13</v>
      </c>
      <c r="C32" s="8" t="s">
        <v>24</v>
      </c>
      <c r="D32" s="7">
        <v>3</v>
      </c>
      <c r="E32" s="8" t="s">
        <v>22</v>
      </c>
      <c r="F32" s="6" t="s">
        <v>16</v>
      </c>
      <c r="G32" s="6" t="s">
        <v>17</v>
      </c>
      <c r="H32" s="5" t="s">
        <v>18</v>
      </c>
      <c r="I32" s="5" t="s">
        <v>48</v>
      </c>
      <c r="J32" s="12" t="s">
        <v>19</v>
      </c>
      <c r="K32" s="6" t="s">
        <v>20</v>
      </c>
    </row>
    <row r="33" spans="1:11" ht="25.5" x14ac:dyDescent="0.25">
      <c r="A33" s="13">
        <v>46298</v>
      </c>
      <c r="B33" s="5" t="s">
        <v>13</v>
      </c>
      <c r="C33" s="8" t="s">
        <v>25</v>
      </c>
      <c r="D33" s="7">
        <v>1</v>
      </c>
      <c r="E33" s="8" t="s">
        <v>15</v>
      </c>
      <c r="F33" s="6" t="s">
        <v>16</v>
      </c>
      <c r="G33" s="6" t="s">
        <v>17</v>
      </c>
      <c r="H33" s="5" t="s">
        <v>18</v>
      </c>
      <c r="I33" s="5" t="s">
        <v>48</v>
      </c>
      <c r="J33" s="12" t="s">
        <v>19</v>
      </c>
      <c r="K33" s="6" t="s">
        <v>20</v>
      </c>
    </row>
    <row r="34" spans="1:11" ht="25.5" x14ac:dyDescent="0.25">
      <c r="A34" s="13">
        <v>46298</v>
      </c>
      <c r="B34" s="5" t="s">
        <v>13</v>
      </c>
      <c r="C34" s="8" t="s">
        <v>25</v>
      </c>
      <c r="D34" s="7">
        <v>1</v>
      </c>
      <c r="E34" s="8" t="s">
        <v>21</v>
      </c>
      <c r="F34" s="6" t="s">
        <v>16</v>
      </c>
      <c r="G34" s="6" t="s">
        <v>17</v>
      </c>
      <c r="H34" s="5" t="s">
        <v>18</v>
      </c>
      <c r="I34" s="5" t="s">
        <v>48</v>
      </c>
      <c r="J34" s="12" t="s">
        <v>19</v>
      </c>
      <c r="K34" s="6" t="s">
        <v>20</v>
      </c>
    </row>
    <row r="35" spans="1:11" ht="25.5" x14ac:dyDescent="0.25">
      <c r="A35" s="13">
        <v>46298</v>
      </c>
      <c r="B35" s="5" t="s">
        <v>13</v>
      </c>
      <c r="C35" s="8" t="s">
        <v>25</v>
      </c>
      <c r="D35" s="7">
        <v>1</v>
      </c>
      <c r="E35" s="8" t="s">
        <v>22</v>
      </c>
      <c r="F35" s="6" t="s">
        <v>16</v>
      </c>
      <c r="G35" s="6" t="s">
        <v>17</v>
      </c>
      <c r="H35" s="5" t="s">
        <v>18</v>
      </c>
      <c r="I35" s="5" t="s">
        <v>48</v>
      </c>
      <c r="J35" s="12" t="s">
        <v>19</v>
      </c>
      <c r="K35" s="6" t="s">
        <v>20</v>
      </c>
    </row>
    <row r="36" spans="1:11" ht="25.5" x14ac:dyDescent="0.25">
      <c r="A36" s="13">
        <v>46298</v>
      </c>
      <c r="B36" s="5" t="s">
        <v>13</v>
      </c>
      <c r="C36" s="8" t="s">
        <v>25</v>
      </c>
      <c r="D36" s="7">
        <v>2</v>
      </c>
      <c r="E36" s="8" t="s">
        <v>15</v>
      </c>
      <c r="F36" s="6" t="s">
        <v>16</v>
      </c>
      <c r="G36" s="6" t="s">
        <v>17</v>
      </c>
      <c r="H36" s="5" t="s">
        <v>18</v>
      </c>
      <c r="I36" s="5" t="s">
        <v>48</v>
      </c>
      <c r="J36" s="12" t="s">
        <v>19</v>
      </c>
      <c r="K36" s="6" t="s">
        <v>20</v>
      </c>
    </row>
    <row r="37" spans="1:11" ht="25.5" x14ac:dyDescent="0.25">
      <c r="A37" s="13">
        <v>46298</v>
      </c>
      <c r="B37" s="5" t="s">
        <v>13</v>
      </c>
      <c r="C37" s="8" t="s">
        <v>25</v>
      </c>
      <c r="D37" s="7">
        <v>2</v>
      </c>
      <c r="E37" s="8" t="s">
        <v>21</v>
      </c>
      <c r="F37" s="6" t="s">
        <v>16</v>
      </c>
      <c r="G37" s="6" t="s">
        <v>17</v>
      </c>
      <c r="H37" s="5" t="s">
        <v>18</v>
      </c>
      <c r="I37" s="5" t="s">
        <v>48</v>
      </c>
      <c r="J37" s="12" t="s">
        <v>19</v>
      </c>
      <c r="K37" s="6" t="s">
        <v>20</v>
      </c>
    </row>
    <row r="38" spans="1:11" ht="25.5" x14ac:dyDescent="0.25">
      <c r="A38" s="13">
        <v>46298</v>
      </c>
      <c r="B38" s="5" t="s">
        <v>13</v>
      </c>
      <c r="C38" s="8" t="s">
        <v>25</v>
      </c>
      <c r="D38" s="7">
        <v>2</v>
      </c>
      <c r="E38" s="8" t="s">
        <v>22</v>
      </c>
      <c r="F38" s="6" t="s">
        <v>16</v>
      </c>
      <c r="G38" s="6" t="s">
        <v>17</v>
      </c>
      <c r="H38" s="5" t="s">
        <v>18</v>
      </c>
      <c r="I38" s="5" t="s">
        <v>48</v>
      </c>
      <c r="J38" s="12" t="s">
        <v>19</v>
      </c>
      <c r="K38" s="6" t="s">
        <v>20</v>
      </c>
    </row>
    <row r="39" spans="1:11" ht="25.5" x14ac:dyDescent="0.25">
      <c r="A39" s="13">
        <v>46298</v>
      </c>
      <c r="B39" s="5" t="s">
        <v>13</v>
      </c>
      <c r="C39" s="8" t="s">
        <v>25</v>
      </c>
      <c r="D39" s="7">
        <v>3</v>
      </c>
      <c r="E39" s="8" t="s">
        <v>15</v>
      </c>
      <c r="F39" s="6" t="s">
        <v>16</v>
      </c>
      <c r="G39" s="6" t="s">
        <v>17</v>
      </c>
      <c r="H39" s="5" t="s">
        <v>18</v>
      </c>
      <c r="I39" s="5" t="s">
        <v>48</v>
      </c>
      <c r="J39" s="12" t="s">
        <v>19</v>
      </c>
      <c r="K39" s="6" t="s">
        <v>20</v>
      </c>
    </row>
    <row r="40" spans="1:11" ht="25.5" x14ac:dyDescent="0.25">
      <c r="A40" s="13">
        <v>46298</v>
      </c>
      <c r="B40" s="5" t="s">
        <v>13</v>
      </c>
      <c r="C40" s="8" t="s">
        <v>25</v>
      </c>
      <c r="D40" s="7">
        <v>3</v>
      </c>
      <c r="E40" s="8" t="s">
        <v>21</v>
      </c>
      <c r="F40" s="6" t="s">
        <v>16</v>
      </c>
      <c r="G40" s="6" t="s">
        <v>17</v>
      </c>
      <c r="H40" s="5" t="s">
        <v>18</v>
      </c>
      <c r="I40" s="5" t="s">
        <v>48</v>
      </c>
      <c r="J40" s="12" t="s">
        <v>19</v>
      </c>
      <c r="K40" s="6" t="s">
        <v>20</v>
      </c>
    </row>
    <row r="41" spans="1:11" ht="25.5" x14ac:dyDescent="0.25">
      <c r="A41" s="13">
        <v>46298</v>
      </c>
      <c r="B41" s="5" t="s">
        <v>13</v>
      </c>
      <c r="C41" s="8" t="s">
        <v>25</v>
      </c>
      <c r="D41" s="7">
        <v>3</v>
      </c>
      <c r="E41" s="8" t="s">
        <v>22</v>
      </c>
      <c r="F41" s="6" t="s">
        <v>16</v>
      </c>
      <c r="G41" s="6" t="s">
        <v>17</v>
      </c>
      <c r="H41" s="5" t="s">
        <v>18</v>
      </c>
      <c r="I41" s="5" t="s">
        <v>48</v>
      </c>
      <c r="J41" s="12" t="s">
        <v>19</v>
      </c>
      <c r="K41" s="6" t="s">
        <v>20</v>
      </c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</sheetData>
  <mergeCells count="3">
    <mergeCell ref="A1:L1"/>
    <mergeCell ref="A2:L2"/>
    <mergeCell ref="A43:K43"/>
  </mergeCells>
  <phoneticPr fontId="7" type="noConversion"/>
  <dataValidations count="3">
    <dataValidation type="list" allowBlank="1" sqref="F5:F41" xr:uid="{00000000-0002-0000-0000-000000000000}">
      <formula1>"TRACKED,EXTENDED_TRACKED,LIMITED,NO_POSE"</formula1>
      <formula2>0</formula2>
    </dataValidation>
    <dataValidation type="list" allowBlank="1" sqref="J5:J41" xr:uid="{00000000-0002-0000-0000-000001000000}">
      <formula1>"Sim,Não,Parcial"</formula1>
      <formula2>0</formula2>
    </dataValidation>
    <dataValidation type="list" allowBlank="1" sqref="C5:C41" xr:uid="{00000000-0002-0000-0000-000002000000}">
      <formula1>"Clara,Média,Escura,Colorida"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zoomScaleNormal="100" workbookViewId="0"/>
  </sheetViews>
  <sheetFormatPr defaultColWidth="8.7109375" defaultRowHeight="15" x14ac:dyDescent="0.25"/>
  <cols>
    <col min="1" max="1" width="22" customWidth="1"/>
    <col min="2" max="3" width="20" customWidth="1"/>
    <col min="4" max="4" width="15" customWidth="1"/>
  </cols>
  <sheetData>
    <row r="1" spans="1:4" ht="20.25" x14ac:dyDescent="0.3">
      <c r="A1" s="3" t="s">
        <v>26</v>
      </c>
      <c r="B1" s="3"/>
      <c r="C1" s="3"/>
      <c r="D1" s="3"/>
    </row>
    <row r="2" spans="1:4" x14ac:dyDescent="0.25">
      <c r="A2" s="2" t="s">
        <v>27</v>
      </c>
      <c r="B2" s="2"/>
      <c r="C2" s="2"/>
      <c r="D2" s="2"/>
    </row>
    <row r="4" spans="1:4" x14ac:dyDescent="0.25">
      <c r="A4" s="1" t="s">
        <v>28</v>
      </c>
      <c r="B4" s="1"/>
      <c r="C4" s="1"/>
      <c r="D4" s="1"/>
    </row>
    <row r="5" spans="1:4" ht="30" x14ac:dyDescent="0.25">
      <c r="A5" s="4" t="s">
        <v>29</v>
      </c>
      <c r="B5" s="4" t="s">
        <v>30</v>
      </c>
      <c r="C5" s="4" t="s">
        <v>31</v>
      </c>
      <c r="D5" s="4" t="s">
        <v>32</v>
      </c>
    </row>
    <row r="6" spans="1:4" x14ac:dyDescent="0.25">
      <c r="A6" s="8" t="s">
        <v>14</v>
      </c>
      <c r="B6" s="7">
        <f>COUNTIFS('Matriz de Testes'!$C$5:$C$41,A6)</f>
        <v>10</v>
      </c>
      <c r="C6" s="7">
        <f>COUNTIFS('Matriz de Testes'!$C$5:$C$41,A6,'Matriz de Testes'!$J$5:$J$41,"Sim")</f>
        <v>10</v>
      </c>
      <c r="D6" s="9">
        <f>IFERROR(C6/B6,0)</f>
        <v>1</v>
      </c>
    </row>
    <row r="7" spans="1:4" x14ac:dyDescent="0.25">
      <c r="A7" s="8" t="s">
        <v>23</v>
      </c>
      <c r="B7" s="7">
        <f>COUNTIFS('Matriz de Testes'!$C$5:$C$41,A7)</f>
        <v>9</v>
      </c>
      <c r="C7" s="7">
        <f>COUNTIFS('Matriz de Testes'!$C$5:$C$41,A7,'Matriz de Testes'!$J$5:$J$41,"Sim")</f>
        <v>9</v>
      </c>
      <c r="D7" s="9">
        <f>IFERROR(C7/B7,0)</f>
        <v>1</v>
      </c>
    </row>
    <row r="8" spans="1:4" x14ac:dyDescent="0.25">
      <c r="A8" s="8" t="s">
        <v>24</v>
      </c>
      <c r="B8" s="7">
        <f>COUNTIFS('Matriz de Testes'!$C$5:$C$41,A8)</f>
        <v>9</v>
      </c>
      <c r="C8" s="7">
        <f>COUNTIFS('Matriz de Testes'!$C$5:$C$41,A8,'Matriz de Testes'!$J$5:$J$41,"Sim")</f>
        <v>9</v>
      </c>
      <c r="D8" s="9">
        <f>IFERROR(C8/B8,0)</f>
        <v>1</v>
      </c>
    </row>
    <row r="9" spans="1:4" x14ac:dyDescent="0.25">
      <c r="A9" s="8" t="s">
        <v>25</v>
      </c>
      <c r="B9" s="7">
        <f>COUNTIFS('Matriz de Testes'!$C$5:$C$41,A9)</f>
        <v>9</v>
      </c>
      <c r="C9" s="7">
        <f>COUNTIFS('Matriz de Testes'!$C$5:$C$41,A9,'Matriz de Testes'!$J$5:$J$41,"Sim")</f>
        <v>9</v>
      </c>
      <c r="D9" s="9">
        <f>IFERROR(C9/B9,0)</f>
        <v>1</v>
      </c>
    </row>
    <row r="11" spans="1:4" x14ac:dyDescent="0.25">
      <c r="A11" s="1" t="s">
        <v>33</v>
      </c>
      <c r="B11" s="1"/>
      <c r="C11" s="1"/>
      <c r="D11" s="1"/>
    </row>
    <row r="12" spans="1:4" ht="30" x14ac:dyDescent="0.25">
      <c r="A12" s="4" t="s">
        <v>5</v>
      </c>
      <c r="B12" s="4" t="s">
        <v>30</v>
      </c>
      <c r="C12" s="4" t="s">
        <v>31</v>
      </c>
      <c r="D12" s="4" t="s">
        <v>32</v>
      </c>
    </row>
    <row r="13" spans="1:4" x14ac:dyDescent="0.25">
      <c r="A13" s="8">
        <v>1</v>
      </c>
      <c r="B13" s="7">
        <f>COUNTIFS('Matriz de Testes'!$D$5:$D$41,A13)</f>
        <v>13</v>
      </c>
      <c r="C13" s="7">
        <f>COUNTIFS('Matriz de Testes'!$D$5:$D$41,A13,'Matriz de Testes'!$J$5:$J$41,"Sim")</f>
        <v>13</v>
      </c>
      <c r="D13" s="9">
        <f>IFERROR(C13/B13,0)</f>
        <v>1</v>
      </c>
    </row>
    <row r="14" spans="1:4" x14ac:dyDescent="0.25">
      <c r="A14" s="8">
        <v>2</v>
      </c>
      <c r="B14" s="7">
        <f>COUNTIFS('Matriz de Testes'!$D$5:$D$41,A14)</f>
        <v>12</v>
      </c>
      <c r="C14" s="7">
        <f>COUNTIFS('Matriz de Testes'!$D$5:$D$41,A14,'Matriz de Testes'!$J$5:$J$41,"Sim")</f>
        <v>12</v>
      </c>
      <c r="D14" s="9">
        <f>IFERROR(C14/B14,0)</f>
        <v>1</v>
      </c>
    </row>
    <row r="15" spans="1:4" x14ac:dyDescent="0.25">
      <c r="A15" s="8">
        <v>3</v>
      </c>
      <c r="B15" s="7">
        <f>COUNTIFS('Matriz de Testes'!$D$5:$D$41,A15)</f>
        <v>12</v>
      </c>
      <c r="C15" s="7">
        <f>COUNTIFS('Matriz de Testes'!$D$5:$D$41,A15,'Matriz de Testes'!$J$5:$J$41,"Sim")</f>
        <v>12</v>
      </c>
      <c r="D15" s="9">
        <f>IFERROR(C15/B15,0)</f>
        <v>1</v>
      </c>
    </row>
    <row r="17" spans="1:4" x14ac:dyDescent="0.25">
      <c r="A17" s="1" t="s">
        <v>34</v>
      </c>
      <c r="B17" s="1"/>
      <c r="C17" s="1"/>
      <c r="D17" s="1"/>
    </row>
    <row r="18" spans="1:4" ht="30" x14ac:dyDescent="0.25">
      <c r="A18" s="4" t="s">
        <v>6</v>
      </c>
      <c r="B18" s="4" t="s">
        <v>30</v>
      </c>
      <c r="C18" s="4" t="s">
        <v>31</v>
      </c>
      <c r="D18" s="4" t="s">
        <v>32</v>
      </c>
    </row>
    <row r="19" spans="1:4" x14ac:dyDescent="0.25">
      <c r="A19" s="8" t="s">
        <v>15</v>
      </c>
      <c r="B19" s="7">
        <f>COUNTIFS('Matriz de Testes'!$E$5:$E$41,A19)</f>
        <v>13</v>
      </c>
      <c r="C19" s="7">
        <f>COUNTIFS('Matriz de Testes'!$E$5:$E$41,A19,'Matriz de Testes'!$J$5:$J$41,"Sim")</f>
        <v>13</v>
      </c>
      <c r="D19" s="9">
        <f>IFERROR(C19/B19,0)</f>
        <v>1</v>
      </c>
    </row>
    <row r="20" spans="1:4" x14ac:dyDescent="0.25">
      <c r="A20" s="8" t="s">
        <v>21</v>
      </c>
      <c r="B20" s="7">
        <f>COUNTIFS('Matriz de Testes'!$E$5:$E$41,A20)</f>
        <v>12</v>
      </c>
      <c r="C20" s="7">
        <f>COUNTIFS('Matriz de Testes'!$E$5:$E$41,A20,'Matriz de Testes'!$J$5:$J$41,"Sim")</f>
        <v>12</v>
      </c>
      <c r="D20" s="9">
        <f>IFERROR(C20/B20,0)</f>
        <v>1</v>
      </c>
    </row>
    <row r="21" spans="1:4" x14ac:dyDescent="0.25">
      <c r="A21" s="8" t="s">
        <v>22</v>
      </c>
      <c r="B21" s="7">
        <f>COUNTIFS('Matriz de Testes'!$E$5:$E$41,A21)</f>
        <v>12</v>
      </c>
      <c r="C21" s="7">
        <f>COUNTIFS('Matriz de Testes'!$E$5:$E$41,A21,'Matriz de Testes'!$J$5:$J$41,"Sim")</f>
        <v>12</v>
      </c>
      <c r="D21" s="9">
        <f>IFERROR(C21/B21,0)</f>
        <v>1</v>
      </c>
    </row>
    <row r="23" spans="1:4" x14ac:dyDescent="0.25">
      <c r="A23" s="1" t="s">
        <v>35</v>
      </c>
      <c r="B23" s="1"/>
      <c r="C23" s="1"/>
      <c r="D23" s="1"/>
    </row>
    <row r="24" spans="1:4" ht="30" x14ac:dyDescent="0.25">
      <c r="B24" s="4" t="s">
        <v>30</v>
      </c>
      <c r="C24" s="4" t="s">
        <v>31</v>
      </c>
      <c r="D24" s="4" t="s">
        <v>32</v>
      </c>
    </row>
    <row r="25" spans="1:4" x14ac:dyDescent="0.25">
      <c r="B25" s="10">
        <f>COUNTIF('Matriz de Testes'!$J$5:$J$41,"&lt;&gt;")</f>
        <v>37</v>
      </c>
      <c r="C25" s="10">
        <f>COUNTIF('Matriz de Testes'!$J$5:$J$41,"Sim")</f>
        <v>37</v>
      </c>
      <c r="D25" s="11">
        <f>IFERROR(C25/B25,0)</f>
        <v>1</v>
      </c>
    </row>
  </sheetData>
  <mergeCells count="6">
    <mergeCell ref="A23:D23"/>
    <mergeCell ref="A1:D1"/>
    <mergeCell ref="A2:D2"/>
    <mergeCell ref="A4:D4"/>
    <mergeCell ref="A11:D11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/>
  </sheetViews>
  <sheetFormatPr defaultColWidth="8.7109375" defaultRowHeight="15" x14ac:dyDescent="0.25"/>
  <cols>
    <col min="1" max="1" width="34" customWidth="1"/>
    <col min="2" max="3" width="22" customWidth="1"/>
    <col min="4" max="4" width="18" customWidth="1"/>
  </cols>
  <sheetData>
    <row r="1" spans="1:4" ht="20.25" x14ac:dyDescent="0.3">
      <c r="A1" s="3" t="s">
        <v>36</v>
      </c>
      <c r="B1" s="3"/>
      <c r="C1" s="3"/>
      <c r="D1" s="3"/>
    </row>
    <row r="2" spans="1:4" x14ac:dyDescent="0.25">
      <c r="A2" s="2" t="s">
        <v>37</v>
      </c>
      <c r="B2" s="2"/>
      <c r="C2" s="2"/>
      <c r="D2" s="2"/>
    </row>
    <row r="4" spans="1:4" x14ac:dyDescent="0.25">
      <c r="A4" s="4" t="s">
        <v>38</v>
      </c>
      <c r="B4" s="4" t="s">
        <v>39</v>
      </c>
      <c r="C4" s="4" t="s">
        <v>40</v>
      </c>
      <c r="D4" s="4" t="s">
        <v>41</v>
      </c>
    </row>
    <row r="5" spans="1:4" x14ac:dyDescent="0.25">
      <c r="A5" s="8" t="s">
        <v>42</v>
      </c>
      <c r="B5" s="7"/>
      <c r="C5" s="7"/>
      <c r="D5" s="7"/>
    </row>
    <row r="6" spans="1:4" x14ac:dyDescent="0.25">
      <c r="A6" s="8" t="s">
        <v>43</v>
      </c>
      <c r="B6" s="7"/>
      <c r="C6" s="7"/>
      <c r="D6" s="7"/>
    </row>
    <row r="7" spans="1:4" x14ac:dyDescent="0.25">
      <c r="A7" s="8" t="s">
        <v>44</v>
      </c>
      <c r="B7" s="7"/>
      <c r="C7" s="7"/>
      <c r="D7" s="7"/>
    </row>
    <row r="8" spans="1:4" x14ac:dyDescent="0.25">
      <c r="A8" s="8" t="s">
        <v>45</v>
      </c>
      <c r="B8" s="7"/>
      <c r="C8" s="7"/>
      <c r="D8" s="7"/>
    </row>
    <row r="9" spans="1:4" x14ac:dyDescent="0.25">
      <c r="A9" s="8" t="s">
        <v>46</v>
      </c>
      <c r="B9" s="7"/>
      <c r="C9" s="7"/>
      <c r="D9" s="7"/>
    </row>
    <row r="11" spans="1:4" x14ac:dyDescent="0.25">
      <c r="A11" s="2" t="s">
        <v>47</v>
      </c>
      <c r="B11" s="2"/>
      <c r="C11" s="2"/>
      <c r="D11" s="2"/>
    </row>
  </sheetData>
  <mergeCells count="3">
    <mergeCell ref="A1:D1"/>
    <mergeCell ref="A2:D2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 de Testes</vt:lpstr>
      <vt:lpstr>Resumo</vt:lpstr>
      <vt:lpstr>Metas de Desempenho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Dionisio</cp:lastModifiedBy>
  <cp:revision>0</cp:revision>
  <dcterms:created xsi:type="dcterms:W3CDTF">2026-10-05T14:08:02Z</dcterms:created>
  <dcterms:modified xsi:type="dcterms:W3CDTF">2026-10-05T15:19:36Z</dcterms:modified>
  <dc:language>en-US</dc:language>
</cp:coreProperties>
</file>